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\Downloads\"/>
    </mc:Choice>
  </mc:AlternateContent>
  <xr:revisionPtr revIDLastSave="0" documentId="13_ncr:1_{E5FEE034-9190-4309-8E70-9594EA99DE0D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Données" sheetId="1" r:id="rId1"/>
    <sheet name="Analyse" sheetId="2" r:id="rId2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0" i="2"/>
  <c r="C20" i="2" s="1"/>
  <c r="B19" i="2"/>
  <c r="B21" i="2" s="1"/>
  <c r="B14" i="2"/>
  <c r="C14" i="2" s="1"/>
  <c r="B13" i="2"/>
  <c r="C13" i="2" s="1"/>
  <c r="B12" i="2"/>
  <c r="B15" i="2" s="1"/>
  <c r="B8" i="2"/>
  <c r="B7" i="2"/>
  <c r="B6" i="2"/>
  <c r="B5" i="2"/>
  <c r="C19" i="2" l="1"/>
  <c r="C21" i="2" s="1"/>
  <c r="C12" i="2"/>
</calcChain>
</file>

<file path=xl/sharedStrings.xml><?xml version="1.0" encoding="utf-8"?>
<sst xmlns="http://schemas.openxmlformats.org/spreadsheetml/2006/main" count="149" uniqueCount="72">
  <si>
    <t>Horodateur</t>
  </si>
  <si>
    <t>Profil</t>
  </si>
  <si>
    <t>Appareil</t>
  </si>
  <si>
    <t>Outils protection</t>
  </si>
  <si>
    <t>Préoccupation (1-5)</t>
  </si>
  <si>
    <t>Connaît IA</t>
  </si>
  <si>
    <t>IA : opportunité ou menace ?</t>
  </si>
  <si>
    <t>Nb outils IA/jour</t>
  </si>
  <si>
    <t>Craintes IA</t>
  </si>
  <si>
    <t>Etudiante</t>
  </si>
  <si>
    <t>smart phone</t>
  </si>
  <si>
    <t>VPN</t>
  </si>
  <si>
    <t>Oui</t>
  </si>
  <si>
    <t>les deux à la fois</t>
  </si>
  <si>
    <t>Entre 3 et 6 outils d’IA par jour, souvent sans s’en rendre compte.</t>
  </si>
  <si>
    <t>Beaucoup de personnes craignent que l’intelligence artificielle remplace certains métiers, surtout les tâches répétitives ou automatisables.</t>
  </si>
  <si>
    <t>Etudiant</t>
  </si>
  <si>
    <t>Gestionnaire de mots de passe</t>
  </si>
  <si>
    <t>une opportunité(protection)</t>
  </si>
  <si>
    <t xml:space="preserve">entre 2 et 3 fois </t>
  </si>
  <si>
    <t>aucune</t>
  </si>
  <si>
    <t>Ordinateur</t>
  </si>
  <si>
    <t>Anti-virus</t>
  </si>
  <si>
    <t>Entre 1 et 2 outils par jour, car certaines personnes n’utilisent que quelques applications qui intègrent l’IA.</t>
  </si>
  <si>
    <t>La diminution des capacités humaines, car les personnes pourraient trop dépendre de l’IA pour réfléchir, apprendre ou prendre des décisions.</t>
  </si>
  <si>
    <t>Non</t>
  </si>
  <si>
    <t>Etudien</t>
  </si>
  <si>
    <t>une menace</t>
  </si>
  <si>
    <t>Bien sur</t>
  </si>
  <si>
    <t xml:space="preserve">Rein </t>
  </si>
  <si>
    <t xml:space="preserve">Plusieurs outils </t>
  </si>
  <si>
    <t>de ne pas trouver un mari CAPABLE a cause de l’ia</t>
  </si>
  <si>
    <t>Anti-virus, Gestionnaire de mots de passe</t>
  </si>
  <si>
    <t xml:space="preserve">Très dangereux </t>
  </si>
  <si>
    <t>Étudiante</t>
  </si>
  <si>
    <t>VPN, Gestionnaire de mots de passe</t>
  </si>
  <si>
    <t xml:space="preserve">Étudiant </t>
  </si>
  <si>
    <t xml:space="preserve"> Entre 3 et 6 outils</t>
  </si>
  <si>
    <t>tablette</t>
  </si>
  <si>
    <t>pare-feu</t>
  </si>
  <si>
    <t>Environ 5 à 10 outils par jour.</t>
  </si>
  <si>
    <t>La perte d’emplois, les risques pour la vie privée et l’utilisation de l’IA pour des cyberattaques.</t>
  </si>
  <si>
    <t xml:space="preserve">Etudiante </t>
  </si>
  <si>
    <t>La plus grande crainte n'est pas que l'IA devienne trop intelligente, mais que les humains deviennent trop dépendants d'elle.</t>
  </si>
  <si>
    <t xml:space="preserve">Étudiante </t>
  </si>
  <si>
    <t xml:space="preserve">	•	Mauvaise utilisation
	•	Perte d’emplois
	•	Dépendance des humains
	•	Problèmes éthiques et de vie privée</t>
  </si>
  <si>
    <t xml:space="preserve">Etudiant </t>
  </si>
  <si>
    <t>Anti-virus, VPN</t>
  </si>
  <si>
    <t xml:space="preserve">Les outils qu’ont l’utilise sans le savoir sont les réseaux sociaux </t>
  </si>
  <si>
    <t>Qu'ont l'utilise pour faire des mauvaises fins</t>
  </si>
  <si>
    <t>Je ne sais pas exactement, mais probablement plusieurs.</t>
  </si>
  <si>
    <t>Le manque de contrôle et de régulation de l’IA.
La propagation de fausses informations générées par l’IA.
Les risques pour la protection des données personnelles.</t>
  </si>
  <si>
    <t>ANALYSE – L'IA en cybersécurité : protection et menace</t>
  </si>
  <si>
    <t>① Analyse numérique – Niveau de préoccupation face aux cyberattaques (1 à 5)</t>
  </si>
  <si>
    <t>Statistique</t>
  </si>
  <si>
    <t>Valeur</t>
  </si>
  <si>
    <t>Nombre de réponses</t>
  </si>
  <si>
    <t>Minimum</t>
  </si>
  <si>
    <t>Maximum</t>
  </si>
  <si>
    <t>Moyenne</t>
  </si>
  <si>
    <t>② Analyse catégorielle – L'IA : opportunité ou menace ?</t>
  </si>
  <si>
    <t>Réponse</t>
  </si>
  <si>
    <t>Nombre</t>
  </si>
  <si>
    <t>Pourcentage</t>
  </si>
  <si>
    <t>Opportunité (protection)</t>
  </si>
  <si>
    <t>Menace</t>
  </si>
  <si>
    <t>Les deux à la fois</t>
  </si>
  <si>
    <t>TOTAL</t>
  </si>
  <si>
    <t>③ Analyse – Connaissance de l'IA en cybersécurité</t>
  </si>
  <si>
    <t>Niveau</t>
  </si>
  <si>
    <t>Nb répondants</t>
  </si>
  <si>
    <t>2 fois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</si>
</sst>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rgb="FFBDD7EE"/>
        <bgColor rgb="FFD9D9D9"/>
      </patternFill>
    </fill>
    <fill>
      <patternFill patternType="solid">
        <fgColor rgb="FFEBF3FB"/>
        <bgColor rgb="FFF9F9F9"/>
      </patternFill>
    </fill>
    <fill>
      <patternFill patternType="solid">
        <fgColor theme="4"/>
        <bgColor theme="4" tint="0.39994506668294322"/>
      </patternFill>
    </fill>
    <fill>
      <patternFill patternType="solid">
        <fgColor rgb="FF2E75B6"/>
        <bgColor theme="3" tint="0.3999450666829432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D9D9D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</cellStyleXfs>
  <cellXfs count="22">
    <xf numFmtId="0" fontId="0" fillId="0" borderId="0" xfId="0"/>
    <xf numFmtId="0" fontId="4" fillId="5" borderId="0" xfId="0" applyFont="1" applyFill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indent="1"/>
    </xf>
    <xf numFmtId="0" fontId="6" fillId="7" borderId="1" xfId="0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165" fontId="5" fillId="6" borderId="1" xfId="0" applyNumberFormat="1" applyFont="1" applyFill="1" applyBorder="1" applyAlignment="1">
      <alignment horizontal="center"/>
    </xf>
    <xf numFmtId="0" fontId="7" fillId="0" borderId="2" xfId="2"/>
    <xf numFmtId="0" fontId="7" fillId="0" borderId="0" xfId="1"/>
    <xf numFmtId="0" fontId="3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left" vertical="center" indent="1"/>
    </xf>
    <xf numFmtId="0" fontId="9" fillId="5" borderId="0" xfId="0" applyFont="1" applyFill="1" applyAlignment="1">
      <alignment horizontal="left" vertical="center" indent="1"/>
    </xf>
    <xf numFmtId="0" fontId="0" fillId="10" borderId="0" xfId="0" applyFill="1"/>
    <xf numFmtId="9" fontId="0" fillId="10" borderId="0" xfId="0" applyNumberFormat="1" applyFill="1"/>
    <xf numFmtId="0" fontId="8" fillId="10" borderId="3" xfId="3" applyFill="1"/>
    <xf numFmtId="0" fontId="5" fillId="11" borderId="1" xfId="0" applyFont="1" applyFill="1" applyBorder="1" applyAlignment="1">
      <alignment horizontal="center" vertical="center"/>
    </xf>
  </cellXfs>
  <cellStyles count="4">
    <cellStyle name="Normal" xfId="0" builtinId="0"/>
    <cellStyle name="Titre 3" xfId="2" builtinId="18"/>
    <cellStyle name="Titre 4" xfId="1" builtinId="19"/>
    <cellStyle name="Total" xfId="3" builtinId="2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F9F9F9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des opinions sur l'IA en cybersécurité</a:t>
            </a:r>
          </a:p>
        </c:rich>
      </c:tx>
      <c:layout>
        <c:manualLayout>
          <c:xMode val="edge"/>
          <c:yMode val="edge"/>
          <c:x val="0.17720689454964983"/>
          <c:y val="1.4367474752274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M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Analyse!$B$11</c:f>
              <c:strCache>
                <c:ptCount val="1"/>
                <c:pt idx="0">
                  <c:v>Nombre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58-4F75-B449-DDFF32839B1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58-4F75-B449-DDFF32839B18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58-4F75-B449-DDFF32839B18}"/>
              </c:ext>
            </c:extLst>
          </c:dPt>
          <c:dLbls>
            <c:dLbl>
              <c:idx val="2"/>
              <c:layout>
                <c:manualLayout>
                  <c:x val="0.11731288435578217"/>
                  <c:y val="-7.7585363812994454E-2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M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4508849557522125"/>
                      <c:h val="0.104864226682408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B58-4F75-B449-DDFF32839B18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MR"/>
              </a:p>
            </c:txPr>
            <c:dLblPos val="ctr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Analyse!$A$12:$A$14</c:f>
              <c:strCache>
                <c:ptCount val="3"/>
                <c:pt idx="0">
                  <c:v>Opportunité (protection)</c:v>
                </c:pt>
                <c:pt idx="1">
                  <c:v>Menace</c:v>
                </c:pt>
                <c:pt idx="2">
                  <c:v>Les deux à la fois</c:v>
                </c:pt>
              </c:strCache>
            </c:strRef>
          </c:cat>
          <c:val>
            <c:numRef>
              <c:f>Analyse!$B$12:$B$14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58-4F75-B449-DDFF32839B1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M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M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Distribution du niveau de préoccupation face aux cyberattaques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M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Analyse!$B$24</c:f>
              <c:strCache>
                <c:ptCount val="1"/>
                <c:pt idx="0">
                  <c:v>Nb répondants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M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Analyse!$A$25:$A$29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Analyse!$B$25:$B$29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8</c:v>
                </c:pt>
                <c:pt idx="3">
                  <c:v>0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F-47EE-9B4A-E38CC5BA6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42214052"/>
        <c:axId val="17614643"/>
      </c:barChart>
      <c:catAx>
        <c:axId val="422140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Niveau (1=faible, 5=élevé)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MR"/>
          </a:p>
        </c:txPr>
        <c:crossAx val="17614643"/>
        <c:crosses val="autoZero"/>
        <c:auto val="1"/>
        <c:lblAlgn val="ctr"/>
        <c:lblOffset val="100"/>
        <c:noMultiLvlLbl val="0"/>
      </c:catAx>
      <c:valAx>
        <c:axId val="176146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de répondants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MR"/>
          </a:p>
        </c:txPr>
        <c:crossAx val="422140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MR"/>
        </a:p>
      </c:txPr>
    </c:legend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M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0" i="0" u="none" strike="noStrike" kern="1200" spc="0" baseline="0">
                <a:ln w="0">
                  <a:noFill/>
                </a:ln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ln w="0">
                  <a:noFill/>
                </a:ln>
                <a:solidFill>
                  <a:schemeClr val="accent1"/>
                </a:solidFill>
              </a:rPr>
              <a:t>Connaissances</a:t>
            </a:r>
            <a:r>
              <a:rPr lang="fr-FR" baseline="0">
                <a:ln w="0">
                  <a:noFill/>
                </a:ln>
                <a:solidFill>
                  <a:schemeClr val="accent1"/>
                </a:solidFill>
              </a:rPr>
              <a:t> de l'IA</a:t>
            </a:r>
            <a:endParaRPr lang="fr-FR">
              <a:ln w="0">
                <a:noFill/>
              </a:ln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15802777777777777"/>
          <c:y val="5.5622346168080219E-2"/>
        </c:manualLayout>
      </c:layout>
      <c:overlay val="0"/>
      <c:spPr>
        <a:noFill/>
        <a:ln w="19050" cmpd="thickThin">
          <a:solidFill>
            <a:srgbClr val="00B0F0"/>
          </a:solidFill>
          <a:prstDash val="sysDot"/>
          <a:miter lim="800000"/>
        </a:ln>
        <a:effectLst/>
      </c:spPr>
      <c:txPr>
        <a:bodyPr rot="0" spcFirstLastPara="1" vertOverflow="ellipsis" vert="horz" wrap="square" anchor="t" anchorCtr="1"/>
        <a:lstStyle/>
        <a:p>
          <a:pPr>
            <a:defRPr sz="1400" b="0" i="0" u="none" strike="noStrike" kern="1200" spc="0" baseline="0">
              <a:ln w="0">
                <a:noFill/>
              </a:ln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fr-M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Analyse!$A$17:$A$21</c:f>
              <c:strCache>
                <c:ptCount val="5"/>
                <c:pt idx="0">
                  <c:v>③ Analyse – Connaissance de l'IA en cybersécurité</c:v>
                </c:pt>
                <c:pt idx="1">
                  <c:v>Réponse</c:v>
                </c:pt>
                <c:pt idx="2">
                  <c:v>Oui</c:v>
                </c:pt>
                <c:pt idx="3">
                  <c:v>Non</c:v>
                </c:pt>
                <c:pt idx="4">
                  <c:v>TOTAL</c:v>
                </c:pt>
              </c:strCache>
            </c:strRef>
          </c:cat>
          <c:val>
            <c:numRef>
              <c:f>Analyse!$B$17:$B$21</c:f>
              <c:numCache>
                <c:formatCode>General</c:formatCode>
                <c:ptCount val="5"/>
                <c:pt idx="1">
                  <c:v>0</c:v>
                </c:pt>
                <c:pt idx="2">
                  <c:v>14</c:v>
                </c:pt>
                <c:pt idx="3">
                  <c:v>6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2-43F2-B888-2A9822AC03C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Analyse!$A$17:$A$21</c:f>
              <c:strCache>
                <c:ptCount val="5"/>
                <c:pt idx="0">
                  <c:v>③ Analyse – Connaissance de l'IA en cybersécurité</c:v>
                </c:pt>
                <c:pt idx="1">
                  <c:v>Réponse</c:v>
                </c:pt>
                <c:pt idx="2">
                  <c:v>Oui</c:v>
                </c:pt>
                <c:pt idx="3">
                  <c:v>Non</c:v>
                </c:pt>
                <c:pt idx="4">
                  <c:v>TOTAL</c:v>
                </c:pt>
              </c:strCache>
            </c:strRef>
          </c:cat>
          <c:val>
            <c:numRef>
              <c:f>Analyse!$C$17:$C$21</c:f>
              <c:numCache>
                <c:formatCode>General</c:formatCode>
                <c:ptCount val="5"/>
                <c:pt idx="1">
                  <c:v>0</c:v>
                </c:pt>
                <c:pt idx="2" formatCode="0.0%">
                  <c:v>0.7</c:v>
                </c:pt>
                <c:pt idx="3" formatCode="0.0%">
                  <c:v>0.3</c:v>
                </c:pt>
                <c:pt idx="4" formatCode="0.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B2-43F2-B888-2A9822AC03C9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Analyse!$A$17:$A$21</c:f>
              <c:strCache>
                <c:ptCount val="5"/>
                <c:pt idx="0">
                  <c:v>③ Analyse – Connaissance de l'IA en cybersécurité</c:v>
                </c:pt>
                <c:pt idx="1">
                  <c:v>Réponse</c:v>
                </c:pt>
                <c:pt idx="2">
                  <c:v>Oui</c:v>
                </c:pt>
                <c:pt idx="3">
                  <c:v>Non</c:v>
                </c:pt>
                <c:pt idx="4">
                  <c:v>TOTAL</c:v>
                </c:pt>
              </c:strCache>
            </c:strRef>
          </c:cat>
          <c:val>
            <c:numRef>
              <c:f>Analyse!$D$17:$D$21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87B2-43F2-B888-2A9822AC03C9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Analyse!$A$17:$A$21</c:f>
              <c:strCache>
                <c:ptCount val="5"/>
                <c:pt idx="0">
                  <c:v>③ Analyse – Connaissance de l'IA en cybersécurité</c:v>
                </c:pt>
                <c:pt idx="1">
                  <c:v>Réponse</c:v>
                </c:pt>
                <c:pt idx="2">
                  <c:v>Oui</c:v>
                </c:pt>
                <c:pt idx="3">
                  <c:v>Non</c:v>
                </c:pt>
                <c:pt idx="4">
                  <c:v>TOTAL</c:v>
                </c:pt>
              </c:strCache>
            </c:strRef>
          </c:cat>
          <c:val>
            <c:numRef>
              <c:f>Analyse!$E$17:$E$21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87B2-43F2-B888-2A9822AC0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1111111111111109E-2"/>
          <c:y val="0.88267079235565016"/>
          <c:w val="0.9"/>
          <c:h val="0.11732920764434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M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M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61676</xdr:colOff>
      <xdr:row>0</xdr:row>
      <xdr:rowOff>0</xdr:rowOff>
    </xdr:from>
    <xdr:to>
      <xdr:col>16</xdr:col>
      <xdr:colOff>571830</xdr:colOff>
      <xdr:row>26</xdr:row>
      <xdr:rowOff>106053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19050</xdr:colOff>
      <xdr:row>29</xdr:row>
      <xdr:rowOff>38100</xdr:rowOff>
    </xdr:from>
    <xdr:to>
      <xdr:col>3</xdr:col>
      <xdr:colOff>76200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446068</xdr:colOff>
      <xdr:row>30</xdr:row>
      <xdr:rowOff>109752</xdr:rowOff>
    </xdr:from>
    <xdr:to>
      <xdr:col>12</xdr:col>
      <xdr:colOff>188932</xdr:colOff>
      <xdr:row>37</xdr:row>
      <xdr:rowOff>15678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AEB07BCD-6C0D-3B47-0EAA-F3DF29530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opLeftCell="A16" zoomScaleNormal="100" workbookViewId="0">
      <selection activeCell="H16" sqref="H16"/>
    </sheetView>
  </sheetViews>
  <sheetFormatPr baseColWidth="10" defaultColWidth="8.6328125" defaultRowHeight="14.5" x14ac:dyDescent="0.35"/>
  <cols>
    <col min="1" max="1" width="18" customWidth="1"/>
    <col min="2" max="3" width="12" customWidth="1"/>
    <col min="4" max="4" width="22" customWidth="1"/>
    <col min="5" max="5" width="16" customWidth="1"/>
    <col min="6" max="6" width="12" customWidth="1"/>
    <col min="7" max="7" width="22" customWidth="1"/>
    <col min="8" max="8" width="14" customWidth="1"/>
    <col min="9" max="9" width="30" customWidth="1"/>
  </cols>
  <sheetData>
    <row r="1" spans="1:9" ht="34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46" x14ac:dyDescent="0.35">
      <c r="A2" s="3">
        <v>46095.099841828698</v>
      </c>
      <c r="B2" s="4" t="s">
        <v>9</v>
      </c>
      <c r="C2" s="4" t="s">
        <v>10</v>
      </c>
      <c r="D2" s="4" t="s">
        <v>11</v>
      </c>
      <c r="E2" s="4">
        <v>3</v>
      </c>
      <c r="F2" s="4" t="s">
        <v>12</v>
      </c>
      <c r="G2" s="4" t="s">
        <v>13</v>
      </c>
      <c r="H2" s="4" t="s">
        <v>14</v>
      </c>
      <c r="I2" s="4" t="s">
        <v>15</v>
      </c>
    </row>
    <row r="3" spans="1:9" ht="23" x14ac:dyDescent="0.35">
      <c r="A3" s="5">
        <v>46095.1021457639</v>
      </c>
      <c r="B3" s="6" t="s">
        <v>16</v>
      </c>
      <c r="C3" s="6" t="s">
        <v>10</v>
      </c>
      <c r="D3" s="6" t="s">
        <v>17</v>
      </c>
      <c r="E3" s="6">
        <v>5</v>
      </c>
      <c r="F3" s="6" t="s">
        <v>12</v>
      </c>
      <c r="G3" s="6" t="s">
        <v>18</v>
      </c>
      <c r="H3" s="6" t="s">
        <v>19</v>
      </c>
      <c r="I3" s="6" t="s">
        <v>20</v>
      </c>
    </row>
    <row r="4" spans="1:9" ht="92" x14ac:dyDescent="0.35">
      <c r="A4" s="3">
        <v>46095.106958391203</v>
      </c>
      <c r="B4" s="4" t="s">
        <v>9</v>
      </c>
      <c r="C4" s="4" t="s">
        <v>21</v>
      </c>
      <c r="D4" s="4" t="s">
        <v>22</v>
      </c>
      <c r="E4" s="4">
        <v>2</v>
      </c>
      <c r="F4" s="4" t="s">
        <v>12</v>
      </c>
      <c r="G4" s="4" t="s">
        <v>13</v>
      </c>
      <c r="H4" s="4" t="s">
        <v>23</v>
      </c>
      <c r="I4" s="4" t="s">
        <v>24</v>
      </c>
    </row>
    <row r="5" spans="1:9" x14ac:dyDescent="0.35">
      <c r="A5" s="5">
        <v>46095.110680023201</v>
      </c>
      <c r="B5" s="6" t="s">
        <v>9</v>
      </c>
      <c r="C5" s="6" t="s">
        <v>10</v>
      </c>
      <c r="D5" s="6" t="s">
        <v>22</v>
      </c>
      <c r="E5" s="6">
        <v>3</v>
      </c>
      <c r="F5" s="6" t="s">
        <v>25</v>
      </c>
      <c r="G5" s="6"/>
      <c r="H5" s="6"/>
      <c r="I5" s="6"/>
    </row>
    <row r="6" spans="1:9" ht="23" x14ac:dyDescent="0.35">
      <c r="A6" s="3">
        <v>46095.111748738404</v>
      </c>
      <c r="B6" s="4" t="s">
        <v>26</v>
      </c>
      <c r="C6" s="4" t="s">
        <v>21</v>
      </c>
      <c r="D6" s="4" t="s">
        <v>17</v>
      </c>
      <c r="E6" s="4">
        <v>1</v>
      </c>
      <c r="F6" s="4" t="s">
        <v>12</v>
      </c>
      <c r="G6" s="4" t="s">
        <v>27</v>
      </c>
      <c r="H6" s="4" t="s">
        <v>28</v>
      </c>
      <c r="I6" s="4" t="s">
        <v>29</v>
      </c>
    </row>
    <row r="7" spans="1:9" ht="23" x14ac:dyDescent="0.35">
      <c r="A7" s="5">
        <v>46095.111947858801</v>
      </c>
      <c r="B7" s="6" t="s">
        <v>16</v>
      </c>
      <c r="C7" s="6" t="s">
        <v>10</v>
      </c>
      <c r="D7" s="6" t="s">
        <v>17</v>
      </c>
      <c r="E7" s="6">
        <v>5</v>
      </c>
      <c r="F7" s="6" t="s">
        <v>12</v>
      </c>
      <c r="G7" s="6" t="s">
        <v>18</v>
      </c>
      <c r="H7" s="6" t="s">
        <v>30</v>
      </c>
      <c r="I7" s="6" t="s">
        <v>31</v>
      </c>
    </row>
    <row r="8" spans="1:9" ht="23" x14ac:dyDescent="0.35">
      <c r="A8" s="3">
        <v>46095.112057870399</v>
      </c>
      <c r="B8" s="4" t="s">
        <v>9</v>
      </c>
      <c r="C8" s="4" t="s">
        <v>21</v>
      </c>
      <c r="D8" s="4" t="s">
        <v>32</v>
      </c>
      <c r="E8" s="4">
        <v>3</v>
      </c>
      <c r="F8" s="4" t="s">
        <v>12</v>
      </c>
      <c r="G8" s="4" t="s">
        <v>13</v>
      </c>
      <c r="H8" s="4" t="s">
        <v>30</v>
      </c>
      <c r="I8" s="4" t="s">
        <v>33</v>
      </c>
    </row>
    <row r="9" spans="1:9" x14ac:dyDescent="0.35">
      <c r="A9" s="5">
        <v>46095.1141070718</v>
      </c>
      <c r="B9" s="6" t="s">
        <v>16</v>
      </c>
      <c r="C9" s="6" t="s">
        <v>21</v>
      </c>
      <c r="D9" s="6" t="s">
        <v>22</v>
      </c>
      <c r="E9" s="6">
        <v>2</v>
      </c>
      <c r="F9" s="6" t="s">
        <v>25</v>
      </c>
      <c r="G9" s="6"/>
      <c r="H9" s="6"/>
      <c r="I9" s="6"/>
    </row>
    <row r="10" spans="1:9" ht="23" x14ac:dyDescent="0.35">
      <c r="A10" s="3">
        <v>46095.115590138899</v>
      </c>
      <c r="B10" s="4" t="s">
        <v>34</v>
      </c>
      <c r="C10" s="4" t="s">
        <v>10</v>
      </c>
      <c r="D10" s="4" t="s">
        <v>35</v>
      </c>
      <c r="E10" s="4">
        <v>3</v>
      </c>
      <c r="F10" s="4" t="s">
        <v>12</v>
      </c>
      <c r="G10" s="4"/>
      <c r="H10" s="4"/>
      <c r="I10" s="4"/>
    </row>
    <row r="11" spans="1:9" ht="23" x14ac:dyDescent="0.35">
      <c r="A11" s="5">
        <v>46095.116360995402</v>
      </c>
      <c r="B11" s="6" t="s">
        <v>36</v>
      </c>
      <c r="C11" s="6" t="s">
        <v>10</v>
      </c>
      <c r="D11" s="6" t="s">
        <v>17</v>
      </c>
      <c r="E11" s="6">
        <v>2</v>
      </c>
      <c r="F11" s="6" t="s">
        <v>12</v>
      </c>
      <c r="G11" s="6"/>
      <c r="H11" s="6"/>
      <c r="I11" s="6"/>
    </row>
    <row r="12" spans="1:9" ht="46" x14ac:dyDescent="0.35">
      <c r="A12" s="3">
        <v>46095.122486736102</v>
      </c>
      <c r="B12" s="4" t="s">
        <v>34</v>
      </c>
      <c r="C12" s="4" t="s">
        <v>10</v>
      </c>
      <c r="D12" s="4" t="s">
        <v>11</v>
      </c>
      <c r="E12" s="4">
        <v>3</v>
      </c>
      <c r="F12" s="4" t="s">
        <v>12</v>
      </c>
      <c r="G12" s="4" t="s">
        <v>13</v>
      </c>
      <c r="H12" s="4" t="s">
        <v>37</v>
      </c>
      <c r="I12" s="4" t="s">
        <v>15</v>
      </c>
    </row>
    <row r="13" spans="1:9" x14ac:dyDescent="0.35">
      <c r="A13" s="5">
        <v>46095.123357685203</v>
      </c>
      <c r="B13" s="6" t="s">
        <v>16</v>
      </c>
      <c r="C13" s="6" t="s">
        <v>38</v>
      </c>
      <c r="D13" s="6" t="s">
        <v>39</v>
      </c>
      <c r="E13" s="6">
        <v>1</v>
      </c>
      <c r="F13" s="6" t="s">
        <v>25</v>
      </c>
      <c r="G13" s="6"/>
      <c r="H13" s="6"/>
      <c r="I13" s="6"/>
    </row>
    <row r="14" spans="1:9" ht="34.5" x14ac:dyDescent="0.35">
      <c r="A14" s="3">
        <v>46095.1242087153</v>
      </c>
      <c r="B14" s="4" t="s">
        <v>34</v>
      </c>
      <c r="C14" s="4" t="s">
        <v>21</v>
      </c>
      <c r="D14" s="4" t="s">
        <v>39</v>
      </c>
      <c r="E14" s="4">
        <v>2</v>
      </c>
      <c r="F14" s="4" t="s">
        <v>12</v>
      </c>
      <c r="G14" s="4" t="s">
        <v>27</v>
      </c>
      <c r="H14" s="4" t="s">
        <v>40</v>
      </c>
      <c r="I14" s="4" t="s">
        <v>41</v>
      </c>
    </row>
    <row r="15" spans="1:9" ht="46" x14ac:dyDescent="0.35">
      <c r="A15" s="5">
        <v>46095.1242337847</v>
      </c>
      <c r="B15" s="6" t="s">
        <v>42</v>
      </c>
      <c r="C15" s="6" t="s">
        <v>10</v>
      </c>
      <c r="D15" s="6" t="s">
        <v>22</v>
      </c>
      <c r="E15" s="6">
        <v>5</v>
      </c>
      <c r="F15" s="6" t="s">
        <v>12</v>
      </c>
      <c r="G15" s="6" t="s">
        <v>13</v>
      </c>
      <c r="H15" s="6" t="s">
        <v>71</v>
      </c>
      <c r="I15" s="6" t="s">
        <v>43</v>
      </c>
    </row>
    <row r="16" spans="1:9" ht="23" x14ac:dyDescent="0.35">
      <c r="A16" s="3">
        <v>46095.125201087998</v>
      </c>
      <c r="B16" s="4" t="s">
        <v>42</v>
      </c>
      <c r="C16" s="4" t="s">
        <v>10</v>
      </c>
      <c r="D16" s="4" t="s">
        <v>17</v>
      </c>
      <c r="E16" s="4">
        <v>1</v>
      </c>
      <c r="F16" s="4" t="s">
        <v>25</v>
      </c>
      <c r="G16" s="4"/>
      <c r="H16" s="4"/>
      <c r="I16" s="4"/>
    </row>
    <row r="17" spans="1:9" ht="23" x14ac:dyDescent="0.35">
      <c r="A17" s="5">
        <v>46095.126956967601</v>
      </c>
      <c r="B17" s="6" t="s">
        <v>44</v>
      </c>
      <c r="C17" s="6" t="s">
        <v>10</v>
      </c>
      <c r="D17" s="6" t="s">
        <v>17</v>
      </c>
      <c r="E17" s="6">
        <v>1</v>
      </c>
      <c r="F17" s="6" t="s">
        <v>25</v>
      </c>
      <c r="G17" s="6"/>
      <c r="H17" s="6"/>
      <c r="I17" s="6"/>
    </row>
    <row r="18" spans="1:9" ht="46" x14ac:dyDescent="0.35">
      <c r="A18" s="3">
        <v>46095.1421661227</v>
      </c>
      <c r="B18" s="4" t="s">
        <v>36</v>
      </c>
      <c r="C18" s="4" t="s">
        <v>10</v>
      </c>
      <c r="D18" s="4" t="s">
        <v>11</v>
      </c>
      <c r="E18" s="4">
        <v>1</v>
      </c>
      <c r="F18" s="4" t="s">
        <v>12</v>
      </c>
      <c r="G18" s="4" t="s">
        <v>13</v>
      </c>
      <c r="H18" s="4">
        <v>2</v>
      </c>
      <c r="I18" s="4" t="s">
        <v>45</v>
      </c>
    </row>
    <row r="19" spans="1:9" ht="46" x14ac:dyDescent="0.35">
      <c r="A19" s="5">
        <v>46095.162718344902</v>
      </c>
      <c r="B19" s="6" t="s">
        <v>46</v>
      </c>
      <c r="C19" s="6" t="s">
        <v>10</v>
      </c>
      <c r="D19" s="6" t="s">
        <v>47</v>
      </c>
      <c r="E19" s="6">
        <v>3</v>
      </c>
      <c r="F19" s="6" t="s">
        <v>12</v>
      </c>
      <c r="G19" s="6" t="s">
        <v>13</v>
      </c>
      <c r="H19" s="6" t="s">
        <v>48</v>
      </c>
      <c r="I19" s="6" t="s">
        <v>49</v>
      </c>
    </row>
    <row r="20" spans="1:9" ht="69" x14ac:dyDescent="0.35">
      <c r="A20" s="3">
        <v>46095.169973425902</v>
      </c>
      <c r="B20" s="4" t="s">
        <v>46</v>
      </c>
      <c r="C20" s="4" t="s">
        <v>10</v>
      </c>
      <c r="D20" s="4" t="s">
        <v>47</v>
      </c>
      <c r="E20" s="4">
        <v>3</v>
      </c>
      <c r="F20" s="4" t="s">
        <v>12</v>
      </c>
      <c r="G20" s="4" t="s">
        <v>13</v>
      </c>
      <c r="H20" s="4" t="s">
        <v>50</v>
      </c>
      <c r="I20" s="4" t="s">
        <v>51</v>
      </c>
    </row>
    <row r="21" spans="1:9" ht="23" x14ac:dyDescent="0.35">
      <c r="A21" s="5">
        <v>46095.293261724502</v>
      </c>
      <c r="B21" s="6" t="s">
        <v>36</v>
      </c>
      <c r="C21" s="6" t="s">
        <v>10</v>
      </c>
      <c r="D21" s="6" t="s">
        <v>17</v>
      </c>
      <c r="E21" s="6">
        <v>3</v>
      </c>
      <c r="F21" s="6" t="s">
        <v>25</v>
      </c>
      <c r="G21" s="6"/>
      <c r="H21" s="6"/>
      <c r="I21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abSelected="1" topLeftCell="A27" zoomScale="81" zoomScaleNormal="100" workbookViewId="0">
      <selection activeCell="O31" sqref="O31"/>
    </sheetView>
  </sheetViews>
  <sheetFormatPr baseColWidth="10" defaultColWidth="8.6328125" defaultRowHeight="14.5" x14ac:dyDescent="0.35"/>
  <cols>
    <col min="1" max="1" width="30" customWidth="1"/>
    <col min="2" max="2" width="17.6328125" customWidth="1"/>
    <col min="3" max="3" width="14" customWidth="1"/>
  </cols>
  <sheetData>
    <row r="1" spans="1:8" ht="30" customHeight="1" x14ac:dyDescent="0.35">
      <c r="A1" s="15" t="s">
        <v>52</v>
      </c>
      <c r="B1" s="15"/>
      <c r="C1" s="15"/>
      <c r="D1" s="15"/>
      <c r="E1" s="15"/>
      <c r="F1" s="15"/>
      <c r="G1" s="15"/>
      <c r="H1" s="15"/>
    </row>
    <row r="3" spans="1:8" ht="21.75" customHeight="1" x14ac:dyDescent="0.35">
      <c r="A3" s="16" t="s">
        <v>53</v>
      </c>
      <c r="B3" s="16"/>
      <c r="C3" s="16"/>
      <c r="D3" s="16"/>
      <c r="E3" s="16"/>
    </row>
    <row r="4" spans="1:8" x14ac:dyDescent="0.35">
      <c r="A4" s="7" t="s">
        <v>54</v>
      </c>
      <c r="B4" s="7" t="s">
        <v>55</v>
      </c>
    </row>
    <row r="5" spans="1:8" x14ac:dyDescent="0.35">
      <c r="A5" s="8" t="s">
        <v>56</v>
      </c>
      <c r="B5" s="9">
        <f>COUNTA(Données!E2:E21)</f>
        <v>20</v>
      </c>
    </row>
    <row r="6" spans="1:8" x14ac:dyDescent="0.35">
      <c r="A6" s="8" t="s">
        <v>57</v>
      </c>
      <c r="B6" s="9">
        <f>MIN(Données!E2:E21)</f>
        <v>1</v>
      </c>
    </row>
    <row r="7" spans="1:8" x14ac:dyDescent="0.35">
      <c r="A7" s="8" t="s">
        <v>58</v>
      </c>
      <c r="B7" s="9">
        <f>MAX(Données!E2:E21)</f>
        <v>5</v>
      </c>
    </row>
    <row r="8" spans="1:8" x14ac:dyDescent="0.35">
      <c r="A8" s="8" t="s">
        <v>59</v>
      </c>
      <c r="B8" s="9">
        <f>AVERAGE(Données!E2:E21)</f>
        <v>2.6</v>
      </c>
    </row>
    <row r="10" spans="1:8" ht="21.75" customHeight="1" x14ac:dyDescent="0.35">
      <c r="A10" s="17" t="s">
        <v>60</v>
      </c>
      <c r="B10" s="1"/>
      <c r="C10" s="1"/>
      <c r="D10" s="1"/>
      <c r="E10" s="1"/>
    </row>
    <row r="11" spans="1:8" ht="15" thickBot="1" x14ac:dyDescent="0.4">
      <c r="A11" s="20" t="s">
        <v>61</v>
      </c>
      <c r="B11" s="21" t="s">
        <v>62</v>
      </c>
      <c r="C11" s="21" t="s">
        <v>63</v>
      </c>
    </row>
    <row r="12" spans="1:8" ht="15" thickTop="1" x14ac:dyDescent="0.35">
      <c r="A12" s="8" t="s">
        <v>64</v>
      </c>
      <c r="B12" s="9">
        <f>COUNTIF(Données!G2:G21,"*opportunit*")</f>
        <v>2</v>
      </c>
      <c r="C12" s="10">
        <f>B12/SUM($B$12:$B$14)</f>
        <v>0.16666666666666666</v>
      </c>
    </row>
    <row r="13" spans="1:8" x14ac:dyDescent="0.35">
      <c r="A13" s="8" t="s">
        <v>65</v>
      </c>
      <c r="B13" s="9">
        <f>COUNTIF(Données!G2:G21,"*menace*")</f>
        <v>2</v>
      </c>
      <c r="C13" s="10">
        <f>B13/SUM($B$12:$B$14)</f>
        <v>0.16666666666666666</v>
      </c>
    </row>
    <row r="14" spans="1:8" x14ac:dyDescent="0.35">
      <c r="A14" s="8" t="s">
        <v>66</v>
      </c>
      <c r="B14" s="9">
        <f>COUNTIF(Données!G2:G21,"*deux*")</f>
        <v>8</v>
      </c>
      <c r="C14" s="10">
        <f>B14/SUM($B$12:$B$14)</f>
        <v>0.66666666666666663</v>
      </c>
    </row>
    <row r="15" spans="1:8" x14ac:dyDescent="0.35">
      <c r="A15" s="11" t="s">
        <v>67</v>
      </c>
      <c r="B15" s="11">
        <f>SUM(B12:B14)</f>
        <v>12</v>
      </c>
      <c r="C15" s="19"/>
    </row>
    <row r="17" spans="1:5" ht="21.75" customHeight="1" x14ac:dyDescent="0.35">
      <c r="A17" s="1" t="s">
        <v>68</v>
      </c>
      <c r="B17" s="1"/>
      <c r="C17" s="1"/>
      <c r="D17" s="1"/>
      <c r="E17" s="1"/>
    </row>
    <row r="18" spans="1:5" x14ac:dyDescent="0.35">
      <c r="A18" s="7" t="s">
        <v>61</v>
      </c>
      <c r="B18" s="7" t="s">
        <v>62</v>
      </c>
      <c r="C18" s="7" t="s">
        <v>63</v>
      </c>
    </row>
    <row r="19" spans="1:5" x14ac:dyDescent="0.35">
      <c r="A19" s="8" t="s">
        <v>12</v>
      </c>
      <c r="B19" s="9">
        <f>COUNTIF(Données!F2:F21,"Oui")</f>
        <v>14</v>
      </c>
      <c r="C19" s="10">
        <f>B19/SUM($B$19:$B$20)</f>
        <v>0.7</v>
      </c>
    </row>
    <row r="20" spans="1:5" x14ac:dyDescent="0.35">
      <c r="A20" s="8" t="s">
        <v>25</v>
      </c>
      <c r="B20" s="9">
        <f>COUNTIF(Données!F2:F21,"Non")</f>
        <v>6</v>
      </c>
      <c r="C20" s="10">
        <f>B20/SUM($B$19:$B$20)</f>
        <v>0.3</v>
      </c>
    </row>
    <row r="21" spans="1:5" x14ac:dyDescent="0.35">
      <c r="A21" s="11" t="s">
        <v>67</v>
      </c>
      <c r="B21" s="11">
        <f>SUM(B19:B20)</f>
        <v>20</v>
      </c>
      <c r="C21" s="12">
        <f>C19+C20</f>
        <v>1</v>
      </c>
    </row>
    <row r="24" spans="1:5" ht="15" thickBot="1" x14ac:dyDescent="0.4">
      <c r="A24" s="13" t="s">
        <v>69</v>
      </c>
      <c r="B24" s="14" t="s">
        <v>70</v>
      </c>
    </row>
    <row r="25" spans="1:5" x14ac:dyDescent="0.35">
      <c r="A25" s="18">
        <v>1</v>
      </c>
      <c r="B25">
        <f>COUNTIF(Données!E$2:E$21,A25)</f>
        <v>5</v>
      </c>
    </row>
    <row r="26" spans="1:5" x14ac:dyDescent="0.35">
      <c r="A26">
        <v>2</v>
      </c>
      <c r="B26" s="18">
        <f>COUNTIF(Données!E$2:E$21,A26)</f>
        <v>4</v>
      </c>
    </row>
    <row r="27" spans="1:5" x14ac:dyDescent="0.35">
      <c r="A27" s="18">
        <v>3</v>
      </c>
      <c r="B27">
        <f>COUNTIF(Données!E$2:E$21,A27)</f>
        <v>8</v>
      </c>
    </row>
    <row r="28" spans="1:5" x14ac:dyDescent="0.35">
      <c r="A28">
        <v>4</v>
      </c>
      <c r="B28" s="18">
        <f>COUNTIF(Données!E$2:E$21,A28)</f>
        <v>0</v>
      </c>
    </row>
    <row r="29" spans="1:5" x14ac:dyDescent="0.35">
      <c r="A29" s="18">
        <v>5</v>
      </c>
      <c r="B29">
        <f>COUNTIF(Données!E$2:E$21,A29)</f>
        <v>3</v>
      </c>
    </row>
    <row r="33" ht="21.75" customHeight="1" x14ac:dyDescent="0.35"/>
    <row r="34" ht="109.5" customHeight="1" x14ac:dyDescent="0.35"/>
  </sheetData>
  <mergeCells count="4">
    <mergeCell ref="A1:H1"/>
    <mergeCell ref="A3:E3"/>
    <mergeCell ref="A10:E10"/>
    <mergeCell ref="A17:E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</vt:lpstr>
      <vt:lpstr>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toutousaad009@gmail.com</cp:lastModifiedBy>
  <cp:revision>1</cp:revision>
  <dcterms:created xsi:type="dcterms:W3CDTF">2026-03-14T12:40:36Z</dcterms:created>
  <dcterms:modified xsi:type="dcterms:W3CDTF">2026-03-14T13:51:15Z</dcterms:modified>
  <dc:language>en-US</dc:language>
</cp:coreProperties>
</file>